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mc:AlternateContent xmlns:mc="http://schemas.openxmlformats.org/markup-compatibility/2006">
    <mc:Choice Requires="x15">
      <x15ac:absPath xmlns:x15ac="http://schemas.microsoft.com/office/spreadsheetml/2010/11/ac" url="https://uofnebraska-my.sharepoint.com/personal/54683804_nebraska_edu/Documents/CIVE 202/Project 2/Excel/"/>
    </mc:Choice>
  </mc:AlternateContent>
  <xr:revisionPtr revIDLastSave="0" documentId="8_{881AD793-C6EE-416C-8AB3-1503B7348763}" xr6:coauthVersionLast="47" xr6:coauthVersionMax="47" xr10:uidLastSave="{00000000-0000-0000-0000-000000000000}"/>
  <bookViews>
    <workbookView xWindow="-96" yWindow="0" windowWidth="11712" windowHeight="1377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F9" i="11" l="1"/>
  <c r="I5" i="11"/>
  <c r="H33" i="11"/>
  <c r="H32" i="11"/>
  <c r="H26" i="11"/>
  <c r="H20" i="11"/>
  <c r="H14" i="11"/>
  <c r="H8" i="11"/>
  <c r="H21" i="11" l="1"/>
  <c r="H22" i="11"/>
  <c r="H9" i="11"/>
  <c r="I6" i="11"/>
  <c r="H31" i="11" l="1"/>
  <c r="H28" i="11"/>
  <c r="H30" i="11"/>
  <c r="H27" i="11"/>
  <c r="H25" i="11"/>
  <c r="H10" i="11"/>
  <c r="H23" i="11"/>
  <c r="H15" i="11"/>
  <c r="H13" i="11"/>
  <c r="J5" i="11"/>
  <c r="K5" i="11" s="1"/>
  <c r="L5" i="11" s="1"/>
  <c r="M5" i="11" s="1"/>
  <c r="N5" i="11" s="1"/>
  <c r="O5" i="11" s="1"/>
  <c r="P5" i="11" s="1"/>
  <c r="I4" i="11"/>
  <c r="H29" i="11" l="1"/>
  <c r="H24" i="11"/>
  <c r="H16" i="11"/>
  <c r="E19"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<sst xmlns="http://schemas.openxmlformats.org/spreadsheetml/2006/main" count="70" uniqueCount="57">
  <si>
    <t>Project 2 - NDOT</t>
  </si>
  <si>
    <t>Project start:</t>
  </si>
  <si>
    <t>CIVE202</t>
  </si>
  <si>
    <t>Abdi Aden, Nay Law Htoo, Hunter Anciaux</t>
  </si>
  <si>
    <t>Display week:</t>
  </si>
  <si>
    <t>TASK</t>
  </si>
  <si>
    <t>ASSIGNED TO</t>
  </si>
  <si>
    <t>PROGRESS</t>
  </si>
  <si>
    <t>START</t>
  </si>
  <si>
    <t>END</t>
  </si>
  <si>
    <t xml:space="preserve">Do not delete this row. This row is hidden to preserve a formula that is used to highlight the current day within the project schedule. </t>
  </si>
  <si>
    <t>Planning</t>
  </si>
  <si>
    <t xml:space="preserve">Lab 2 Week One </t>
  </si>
  <si>
    <t>All</t>
  </si>
  <si>
    <t>Create Gantt Chart</t>
  </si>
  <si>
    <t>Hunter Anciaux</t>
  </si>
  <si>
    <t>Read client prompt</t>
  </si>
  <si>
    <t>Nay Law Htoo</t>
  </si>
  <si>
    <t>Identify tasks</t>
  </si>
  <si>
    <t>Make coding plans</t>
  </si>
  <si>
    <t>Abdi  Aden</t>
  </si>
  <si>
    <t>Coding</t>
  </si>
  <si>
    <t>Identify specific coding tasks</t>
  </si>
  <si>
    <t xml:space="preserve">Abdi  Aden </t>
  </si>
  <si>
    <t>Determine useful functions</t>
  </si>
  <si>
    <t>Create functions</t>
  </si>
  <si>
    <t>Fill out rest of code</t>
  </si>
  <si>
    <t>Troubleshoot/ensure useability</t>
  </si>
  <si>
    <t>Abdi Aden</t>
  </si>
  <si>
    <t>Report</t>
  </si>
  <si>
    <t>Determine what client wants reported</t>
  </si>
  <si>
    <t>Examine results of coding data</t>
  </si>
  <si>
    <t>Draft sections of report</t>
  </si>
  <si>
    <t>Input and describe/summarize data</t>
  </si>
  <si>
    <t>Fill in rest of report</t>
  </si>
  <si>
    <t xml:space="preserve">Abdi Aden </t>
  </si>
  <si>
    <t>Submission</t>
  </si>
  <si>
    <t>Make ACD</t>
  </si>
  <si>
    <t>Finalize SOW</t>
  </si>
  <si>
    <t>Submit Jupyter notebook/Github</t>
  </si>
  <si>
    <t>Submit report</t>
  </si>
  <si>
    <t>Await feedback</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</si>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</sst>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4" fontId="19" fillId="10" borderId="8" xfId="10" applyFont="1" applyFill="1" applyBorder="1">
      <alignment horizontal="center" vertical="center"/>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9" fontId="1" fillId="9" borderId="0" xfId="2" applyFont="1" applyFill="1" applyAlignment="1">
      <alignment horizontal="center" vertical="center"/>
    </xf>
    <xf numFmtId="9" fontId="1" fillId="8" borderId="0" xfId="2" applyFont="1" applyFill="1" applyAlignment="1">
      <alignment horizontal="center" vertical="center"/>
    </xf>
    <xf numFmtId="9" fontId="1" fillId="7" borderId="0" xfId="2" applyFont="1" applyFill="1" applyAlignment="1">
      <alignment horizontal="center" vertical="center"/>
    </xf>
    <xf numFmtId="9" fontId="1" fillId="6" borderId="0" xfId="2" applyFont="1" applyFill="1" applyAlignment="1">
      <alignment horizontal="center" vertical="center"/>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election activeCell="D9" sqref="D9"/>
    </sheetView>
  </sheetViews>
  <sheetFormatPr defaultColWidth="8.75" defaultRowHeight="30" customHeight="1"/>
  <cols>
    <col min="1" max="1" width="2.75" style="13" customWidth="1"/>
    <col min="2" max="2" width="32.5" customWidth="1"/>
    <col min="3" max="3" width="16.75" customWidth="1"/>
    <col min="4" max="4" width="10.75" customWidth="1"/>
    <col min="5" max="5" width="10.75" style="2" customWidth="1"/>
    <col min="6" max="6" width="10.75" customWidth="1"/>
    <col min="7" max="7" width="3.125" customWidth="1"/>
    <col min="8" max="8" width="6" hidden="1" customWidth="1"/>
    <col min="9" max="65" width="2.75" customWidth="1"/>
  </cols>
  <sheetData>
    <row r="1" spans="1:64" ht="90" customHeight="1">
      <c r="A1" s="14"/>
      <c r="B1" s="94" t="s">
        <v>0</v>
      </c>
      <c r="C1" s="18"/>
      <c r="D1" s="19"/>
      <c r="E1" s="20"/>
      <c r="F1" s="21"/>
      <c r="H1" s="1"/>
      <c r="I1" s="110" t="s">
        <v>1</v>
      </c>
      <c r="J1" s="118"/>
      <c r="K1" s="118"/>
      <c r="L1" s="118"/>
      <c r="M1" s="118"/>
      <c r="N1" s="118"/>
      <c r="O1" s="118"/>
      <c r="P1" s="24"/>
      <c r="Q1" s="109">
        <v>46059</v>
      </c>
      <c r="R1" s="119"/>
      <c r="S1" s="119"/>
      <c r="T1" s="119"/>
      <c r="U1" s="119"/>
      <c r="V1" s="119"/>
      <c r="W1" s="119"/>
      <c r="X1" s="119"/>
      <c r="Y1" s="119"/>
      <c r="Z1" s="119"/>
    </row>
    <row r="2" spans="1:64" ht="30" customHeight="1">
      <c r="B2" s="92" t="s">
        <v>2</v>
      </c>
      <c r="C2" s="93" t="s">
        <v>3</v>
      </c>
      <c r="D2" s="22"/>
      <c r="E2" s="23"/>
      <c r="F2" s="22"/>
      <c r="I2" s="110" t="s">
        <v>4</v>
      </c>
      <c r="J2" s="118"/>
      <c r="K2" s="118"/>
      <c r="L2" s="118"/>
      <c r="M2" s="118"/>
      <c r="N2" s="118"/>
      <c r="O2" s="118"/>
      <c r="P2" s="24"/>
      <c r="Q2" s="108">
        <v>1</v>
      </c>
      <c r="R2" s="119"/>
      <c r="S2" s="119"/>
      <c r="T2" s="119"/>
      <c r="U2" s="119"/>
      <c r="V2" s="119"/>
      <c r="W2" s="119"/>
      <c r="X2" s="119"/>
      <c r="Y2" s="119"/>
      <c r="Z2" s="119"/>
    </row>
    <row r="3" spans="1:64" s="26" customFormat="1" ht="30" customHeight="1">
      <c r="A3" s="13"/>
      <c r="B3" s="25"/>
      <c r="D3" s="27"/>
      <c r="E3" s="28"/>
    </row>
    <row r="4" spans="1:64" s="26" customFormat="1" ht="30" customHeight="1">
      <c r="A4" s="14"/>
      <c r="B4" s="29"/>
      <c r="E4" s="30"/>
      <c r="I4" s="113">
        <f>I5</f>
        <v>46055</v>
      </c>
      <c r="J4" s="111"/>
      <c r="K4" s="111"/>
      <c r="L4" s="111"/>
      <c r="M4" s="111"/>
      <c r="N4" s="111"/>
      <c r="O4" s="111"/>
      <c r="P4" s="111">
        <f>P5</f>
        <v>46062</v>
      </c>
      <c r="Q4" s="111"/>
      <c r="R4" s="111"/>
      <c r="S4" s="111"/>
      <c r="T4" s="111"/>
      <c r="U4" s="111"/>
      <c r="V4" s="111"/>
      <c r="W4" s="111">
        <f>W5</f>
        <v>46069</v>
      </c>
      <c r="X4" s="111"/>
      <c r="Y4" s="111"/>
      <c r="Z4" s="111"/>
      <c r="AA4" s="111"/>
      <c r="AB4" s="111"/>
      <c r="AC4" s="111"/>
      <c r="AD4" s="111">
        <f>AD5</f>
        <v>46076</v>
      </c>
      <c r="AE4" s="111"/>
      <c r="AF4" s="111"/>
      <c r="AG4" s="111"/>
      <c r="AH4" s="111"/>
      <c r="AI4" s="111"/>
      <c r="AJ4" s="111"/>
      <c r="AK4" s="111">
        <f>AK5</f>
        <v>46083</v>
      </c>
      <c r="AL4" s="111"/>
      <c r="AM4" s="111"/>
      <c r="AN4" s="111"/>
      <c r="AO4" s="111"/>
      <c r="AP4" s="111"/>
      <c r="AQ4" s="111"/>
      <c r="AR4" s="111">
        <f>AR5</f>
        <v>46090</v>
      </c>
      <c r="AS4" s="111"/>
      <c r="AT4" s="111"/>
      <c r="AU4" s="111"/>
      <c r="AV4" s="111"/>
      <c r="AW4" s="111"/>
      <c r="AX4" s="111"/>
      <c r="AY4" s="111">
        <f>AY5</f>
        <v>46097</v>
      </c>
      <c r="AZ4" s="111"/>
      <c r="BA4" s="111"/>
      <c r="BB4" s="111"/>
      <c r="BC4" s="111"/>
      <c r="BD4" s="111"/>
      <c r="BE4" s="111"/>
      <c r="BF4" s="111">
        <f>BF5</f>
        <v>46104</v>
      </c>
      <c r="BG4" s="111"/>
      <c r="BH4" s="111"/>
      <c r="BI4" s="111"/>
      <c r="BJ4" s="111"/>
      <c r="BK4" s="111"/>
      <c r="BL4" s="112"/>
    </row>
    <row r="5" spans="1:64" s="26" customFormat="1" ht="15" customHeight="1">
      <c r="A5" s="103"/>
      <c r="B5" s="104" t="s">
        <v>5</v>
      </c>
      <c r="C5" s="106" t="s">
        <v>6</v>
      </c>
      <c r="D5" s="107" t="s">
        <v>7</v>
      </c>
      <c r="E5" s="107" t="s">
        <v>8</v>
      </c>
      <c r="F5" s="107" t="s">
        <v>9</v>
      </c>
      <c r="I5" s="31">
        <f>Project_Start-WEEKDAY(Project_Start,1)+2+7*(Display_Week-1)</f>
        <v>46055</v>
      </c>
      <c r="J5" s="31">
        <f>I5+1</f>
        <v>46056</v>
      </c>
      <c r="K5" s="31">
        <f t="shared" ref="K5:AX5" si="0">J5+1</f>
        <v>46057</v>
      </c>
      <c r="L5" s="31">
        <f t="shared" si="0"/>
        <v>46058</v>
      </c>
      <c r="M5" s="31">
        <f t="shared" si="0"/>
        <v>46059</v>
      </c>
      <c r="N5" s="31">
        <f t="shared" si="0"/>
        <v>46060</v>
      </c>
      <c r="O5" s="32">
        <f t="shared" si="0"/>
        <v>46061</v>
      </c>
      <c r="P5" s="33">
        <f>O5+1</f>
        <v>46062</v>
      </c>
      <c r="Q5" s="31">
        <f>P5+1</f>
        <v>46063</v>
      </c>
      <c r="R5" s="31">
        <f t="shared" si="0"/>
        <v>46064</v>
      </c>
      <c r="S5" s="31">
        <f t="shared" si="0"/>
        <v>46065</v>
      </c>
      <c r="T5" s="31">
        <f t="shared" si="0"/>
        <v>46066</v>
      </c>
      <c r="U5" s="31">
        <f t="shared" si="0"/>
        <v>46067</v>
      </c>
      <c r="V5" s="32">
        <f t="shared" si="0"/>
        <v>46068</v>
      </c>
      <c r="W5" s="33">
        <f>V5+1</f>
        <v>46069</v>
      </c>
      <c r="X5" s="31">
        <f>W5+1</f>
        <v>46070</v>
      </c>
      <c r="Y5" s="31">
        <f t="shared" si="0"/>
        <v>46071</v>
      </c>
      <c r="Z5" s="31">
        <f t="shared" si="0"/>
        <v>46072</v>
      </c>
      <c r="AA5" s="31">
        <f t="shared" si="0"/>
        <v>46073</v>
      </c>
      <c r="AB5" s="31">
        <f t="shared" si="0"/>
        <v>46074</v>
      </c>
      <c r="AC5" s="32">
        <f t="shared" si="0"/>
        <v>46075</v>
      </c>
      <c r="AD5" s="33">
        <f>AC5+1</f>
        <v>46076</v>
      </c>
      <c r="AE5" s="31">
        <f>AD5+1</f>
        <v>46077</v>
      </c>
      <c r="AF5" s="31">
        <f t="shared" si="0"/>
        <v>46078</v>
      </c>
      <c r="AG5" s="31">
        <f t="shared" si="0"/>
        <v>46079</v>
      </c>
      <c r="AH5" s="31">
        <f t="shared" si="0"/>
        <v>46080</v>
      </c>
      <c r="AI5" s="31">
        <f t="shared" si="0"/>
        <v>46081</v>
      </c>
      <c r="AJ5" s="32">
        <f t="shared" si="0"/>
        <v>46082</v>
      </c>
      <c r="AK5" s="33">
        <f>AJ5+1</f>
        <v>46083</v>
      </c>
      <c r="AL5" s="31">
        <f>AK5+1</f>
        <v>46084</v>
      </c>
      <c r="AM5" s="31">
        <f t="shared" si="0"/>
        <v>46085</v>
      </c>
      <c r="AN5" s="31">
        <f t="shared" si="0"/>
        <v>46086</v>
      </c>
      <c r="AO5" s="31">
        <f t="shared" si="0"/>
        <v>46087</v>
      </c>
      <c r="AP5" s="31">
        <f t="shared" si="0"/>
        <v>46088</v>
      </c>
      <c r="AQ5" s="32">
        <f t="shared" si="0"/>
        <v>46089</v>
      </c>
      <c r="AR5" s="33">
        <f>AQ5+1</f>
        <v>46090</v>
      </c>
      <c r="AS5" s="31">
        <f>AR5+1</f>
        <v>46091</v>
      </c>
      <c r="AT5" s="31">
        <f t="shared" si="0"/>
        <v>46092</v>
      </c>
      <c r="AU5" s="31">
        <f t="shared" si="0"/>
        <v>46093</v>
      </c>
      <c r="AV5" s="31">
        <f t="shared" si="0"/>
        <v>46094</v>
      </c>
      <c r="AW5" s="31">
        <f t="shared" si="0"/>
        <v>46095</v>
      </c>
      <c r="AX5" s="32">
        <f t="shared" si="0"/>
        <v>46096</v>
      </c>
      <c r="AY5" s="33">
        <f>AX5+1</f>
        <v>46097</v>
      </c>
      <c r="AZ5" s="31">
        <f>AY5+1</f>
        <v>46098</v>
      </c>
      <c r="BA5" s="31">
        <f t="shared" ref="BA5:BE5" si="1">AZ5+1</f>
        <v>46099</v>
      </c>
      <c r="BB5" s="31">
        <f t="shared" si="1"/>
        <v>46100</v>
      </c>
      <c r="BC5" s="31">
        <f t="shared" si="1"/>
        <v>46101</v>
      </c>
      <c r="BD5" s="31">
        <f t="shared" si="1"/>
        <v>46102</v>
      </c>
      <c r="BE5" s="32">
        <f t="shared" si="1"/>
        <v>46103</v>
      </c>
      <c r="BF5" s="33">
        <f>BE5+1</f>
        <v>46104</v>
      </c>
      <c r="BG5" s="31">
        <f>BF5+1</f>
        <v>46105</v>
      </c>
      <c r="BH5" s="31">
        <f t="shared" ref="BH5:BL5" si="2">BG5+1</f>
        <v>46106</v>
      </c>
      <c r="BI5" s="31">
        <f t="shared" si="2"/>
        <v>46107</v>
      </c>
      <c r="BJ5" s="31">
        <f t="shared" si="2"/>
        <v>46108</v>
      </c>
      <c r="BK5" s="31">
        <f t="shared" si="2"/>
        <v>46109</v>
      </c>
      <c r="BL5" s="31">
        <f t="shared" si="2"/>
        <v>46110</v>
      </c>
    </row>
    <row r="6" spans="1:64" s="26" customFormat="1" ht="15" customHeight="1" thickBot="1">
      <c r="A6" s="103"/>
      <c r="B6" s="105"/>
      <c r="C6" s="120"/>
      <c r="D6" s="120"/>
      <c r="E6" s="120"/>
      <c r="F6" s="12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c r="A7" s="13" t="s">
        <v>10</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5" customFormat="1" ht="30" customHeight="1" thickBot="1">
      <c r="A8" s="14"/>
      <c r="B8" s="40" t="s">
        <v>11</v>
      </c>
      <c r="C8" s="41"/>
      <c r="D8" s="117"/>
      <c r="E8" s="42"/>
      <c r="F8" s="43"/>
      <c r="G8" s="17"/>
      <c r="H8" s="5" t="str">
        <f t="shared" ref="H8:H33" ca="1"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c r="A9" s="14"/>
      <c r="B9" s="46" t="s">
        <v>12</v>
      </c>
      <c r="C9" s="47" t="s">
        <v>13</v>
      </c>
      <c r="D9" s="48"/>
      <c r="E9" s="49">
        <f>Project_Start</f>
        <v>46059</v>
      </c>
      <c r="F9" s="49">
        <f>E9+3</f>
        <v>46062</v>
      </c>
      <c r="G9" s="17"/>
      <c r="H9" s="5">
        <f t="shared" ca="1" si="5"/>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c r="A10" s="14"/>
      <c r="B10" s="51" t="s">
        <v>14</v>
      </c>
      <c r="C10" s="52" t="s">
        <v>15</v>
      </c>
      <c r="D10" s="53"/>
      <c r="E10" s="54">
        <v>46059</v>
      </c>
      <c r="F10" s="54">
        <v>46066</v>
      </c>
      <c r="G10" s="17"/>
      <c r="H10" s="5">
        <f t="shared" ca="1" si="5"/>
        <v>8</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c r="A11" s="13"/>
      <c r="B11" s="51" t="s">
        <v>16</v>
      </c>
      <c r="C11" s="52" t="s">
        <v>17</v>
      </c>
      <c r="D11" s="53"/>
      <c r="E11" s="54">
        <v>46059</v>
      </c>
      <c r="F11" s="54">
        <v>46066</v>
      </c>
      <c r="G11" s="17"/>
      <c r="H11" s="5">
        <f t="shared" ca="1" si="5"/>
        <v>8</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c r="A12" s="13"/>
      <c r="B12" s="51" t="s">
        <v>18</v>
      </c>
      <c r="C12" s="52" t="s">
        <v>15</v>
      </c>
      <c r="D12" s="53"/>
      <c r="E12" s="54">
        <v>46066</v>
      </c>
      <c r="F12" s="54">
        <v>46073</v>
      </c>
      <c r="G12" s="17"/>
      <c r="H12" s="5">
        <f t="shared" ca="1" si="5"/>
        <v>8</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c r="A13" s="13"/>
      <c r="B13" s="51" t="s">
        <v>19</v>
      </c>
      <c r="C13" s="52" t="s">
        <v>20</v>
      </c>
      <c r="D13" s="53"/>
      <c r="E13" s="54">
        <v>46066</v>
      </c>
      <c r="F13" s="54">
        <v>46073</v>
      </c>
      <c r="G13" s="17"/>
      <c r="H13" s="5">
        <f t="shared" ca="1" si="5"/>
        <v>8</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c r="A14" s="14"/>
      <c r="B14" s="56" t="s">
        <v>21</v>
      </c>
      <c r="C14" s="57"/>
      <c r="D14" s="116"/>
      <c r="E14" s="58"/>
      <c r="F14" s="59"/>
      <c r="G14" s="17"/>
      <c r="H14" s="5" t="str">
        <f t="shared" ca="1" si="5"/>
        <v/>
      </c>
    </row>
    <row r="15" spans="1:64" s="45" customFormat="1" ht="30" customHeight="1" thickBot="1">
      <c r="A15" s="14"/>
      <c r="B15" s="60" t="s">
        <v>22</v>
      </c>
      <c r="C15" s="61" t="s">
        <v>23</v>
      </c>
      <c r="D15" s="62"/>
      <c r="E15" s="63">
        <v>46066</v>
      </c>
      <c r="F15" s="63">
        <v>46073</v>
      </c>
      <c r="G15" s="17"/>
      <c r="H15" s="5">
        <f t="shared" ca="1" si="5"/>
        <v>8</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c r="A16" s="13"/>
      <c r="B16" s="60" t="s">
        <v>24</v>
      </c>
      <c r="C16" s="61" t="s">
        <v>15</v>
      </c>
      <c r="D16" s="62"/>
      <c r="E16" s="63">
        <v>46066</v>
      </c>
      <c r="F16" s="63">
        <v>46073</v>
      </c>
      <c r="G16" s="17"/>
      <c r="H16" s="5">
        <f t="shared" ca="1" si="5"/>
        <v>8</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c r="A17" s="13"/>
      <c r="B17" s="60" t="s">
        <v>25</v>
      </c>
      <c r="C17" s="61" t="s">
        <v>15</v>
      </c>
      <c r="D17" s="62"/>
      <c r="E17" s="63">
        <v>46066</v>
      </c>
      <c r="F17" s="63">
        <v>46076</v>
      </c>
      <c r="G17" s="17"/>
      <c r="H17" s="5">
        <f t="shared" ca="1" si="5"/>
        <v>11</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c r="A18" s="13"/>
      <c r="B18" s="60" t="s">
        <v>26</v>
      </c>
      <c r="C18" s="61" t="s">
        <v>17</v>
      </c>
      <c r="D18" s="62"/>
      <c r="E18" s="63">
        <v>46066</v>
      </c>
      <c r="F18" s="63">
        <v>46076</v>
      </c>
      <c r="G18" s="17"/>
      <c r="H18" s="5">
        <f t="shared" ca="1" si="5"/>
        <v>11</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c r="A19" s="13"/>
      <c r="B19" s="60" t="s">
        <v>27</v>
      </c>
      <c r="C19" s="61" t="s">
        <v>28</v>
      </c>
      <c r="D19" s="62"/>
      <c r="E19" s="63">
        <f>E18</f>
        <v>46066</v>
      </c>
      <c r="F19" s="63">
        <v>46076</v>
      </c>
      <c r="G19" s="17"/>
      <c r="H19" s="5">
        <f t="shared" ca="1" si="5"/>
        <v>11</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c r="A20" s="13"/>
      <c r="B20" s="64" t="s">
        <v>29</v>
      </c>
      <c r="C20" s="65"/>
      <c r="D20" s="115"/>
      <c r="E20" s="66"/>
      <c r="F20" s="67"/>
      <c r="G20" s="17"/>
      <c r="H20" s="5" t="str">
        <f t="shared" ca="1" si="5"/>
        <v/>
      </c>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row>
    <row r="21" spans="1:64" s="45" customFormat="1" ht="30" customHeight="1" thickBot="1">
      <c r="A21" s="13"/>
      <c r="B21" s="69" t="s">
        <v>30</v>
      </c>
      <c r="C21" s="70" t="s">
        <v>28</v>
      </c>
      <c r="D21" s="71"/>
      <c r="E21" s="72">
        <v>46066</v>
      </c>
      <c r="F21" s="72">
        <v>46073</v>
      </c>
      <c r="G21" s="17"/>
      <c r="H21" s="5">
        <f t="shared" ca="1" si="5"/>
        <v>8</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c r="A22" s="13"/>
      <c r="B22" s="69" t="s">
        <v>31</v>
      </c>
      <c r="C22" s="70" t="s">
        <v>17</v>
      </c>
      <c r="D22" s="71"/>
      <c r="E22" s="72">
        <v>46073</v>
      </c>
      <c r="F22" s="72">
        <v>46077</v>
      </c>
      <c r="G22" s="17"/>
      <c r="H22" s="5">
        <f t="shared" ca="1" si="5"/>
        <v>5</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c r="A23" s="13"/>
      <c r="B23" s="69" t="s">
        <v>32</v>
      </c>
      <c r="C23" s="70" t="s">
        <v>15</v>
      </c>
      <c r="D23" s="71"/>
      <c r="E23" s="72">
        <v>46073</v>
      </c>
      <c r="F23" s="72">
        <v>46077</v>
      </c>
      <c r="G23" s="17"/>
      <c r="H23" s="5">
        <f t="shared" ca="1" si="5"/>
        <v>5</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c r="A24" s="13"/>
      <c r="B24" s="69" t="s">
        <v>33</v>
      </c>
      <c r="C24" s="70" t="s">
        <v>17</v>
      </c>
      <c r="D24" s="71"/>
      <c r="E24" s="72">
        <v>46073</v>
      </c>
      <c r="F24" s="72">
        <v>46077</v>
      </c>
      <c r="G24" s="17"/>
      <c r="H24" s="5">
        <f t="shared" ca="1" si="5"/>
        <v>5</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c r="A25" s="13"/>
      <c r="B25" s="69" t="s">
        <v>34</v>
      </c>
      <c r="C25" s="70" t="s">
        <v>35</v>
      </c>
      <c r="D25" s="71"/>
      <c r="E25" s="72">
        <v>46073</v>
      </c>
      <c r="F25" s="72">
        <v>46077</v>
      </c>
      <c r="G25" s="17"/>
      <c r="H25" s="5">
        <f t="shared" ca="1" si="5"/>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5" customFormat="1" ht="30" customHeight="1" thickBot="1">
      <c r="A26" s="13"/>
      <c r="B26" s="73" t="s">
        <v>36</v>
      </c>
      <c r="C26" s="74"/>
      <c r="D26" s="114"/>
      <c r="E26" s="75"/>
      <c r="F26" s="76"/>
      <c r="G26" s="17"/>
      <c r="H26" s="5" t="str">
        <f t="shared" ca="1" si="5"/>
        <v/>
      </c>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row>
    <row r="27" spans="1:64" s="45" customFormat="1" ht="30" customHeight="1" thickBot="1">
      <c r="A27" s="13"/>
      <c r="B27" s="78" t="s">
        <v>37</v>
      </c>
      <c r="C27" s="79" t="s">
        <v>15</v>
      </c>
      <c r="D27" s="80"/>
      <c r="E27" s="81">
        <v>46073</v>
      </c>
      <c r="F27" s="102">
        <v>46077</v>
      </c>
      <c r="G27" s="17"/>
      <c r="H27" s="5">
        <f t="shared" ca="1" si="5"/>
        <v>5</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c r="A28" s="13"/>
      <c r="B28" s="78" t="s">
        <v>38</v>
      </c>
      <c r="C28" s="79" t="s">
        <v>28</v>
      </c>
      <c r="D28" s="80"/>
      <c r="E28" s="81">
        <v>46073</v>
      </c>
      <c r="F28" s="102">
        <v>46077</v>
      </c>
      <c r="G28" s="17"/>
      <c r="H28" s="5">
        <f t="shared" ca="1" si="5"/>
        <v>5</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c r="A29" s="13"/>
      <c r="B29" s="78" t="s">
        <v>39</v>
      </c>
      <c r="C29" s="79" t="s">
        <v>28</v>
      </c>
      <c r="D29" s="80"/>
      <c r="E29" s="81">
        <v>46073</v>
      </c>
      <c r="F29" s="102">
        <v>46077</v>
      </c>
      <c r="G29" s="17"/>
      <c r="H29" s="5">
        <f t="shared" ca="1" si="5"/>
        <v>5</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c r="A30" s="13"/>
      <c r="B30" s="78" t="s">
        <v>40</v>
      </c>
      <c r="C30" s="79" t="s">
        <v>17</v>
      </c>
      <c r="D30" s="80"/>
      <c r="E30" s="81">
        <v>46073</v>
      </c>
      <c r="F30" s="102">
        <v>46077</v>
      </c>
      <c r="G30" s="17"/>
      <c r="H30" s="5">
        <f t="shared" ca="1" si="5"/>
        <v>5</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c r="A31" s="13"/>
      <c r="B31" s="78" t="s">
        <v>41</v>
      </c>
      <c r="C31" s="79" t="s">
        <v>13</v>
      </c>
      <c r="D31" s="80"/>
      <c r="E31" s="81">
        <v>46073</v>
      </c>
      <c r="F31" s="102">
        <v>46077</v>
      </c>
      <c r="G31" s="17"/>
      <c r="H31" s="5">
        <f t="shared" ca="1" si="5"/>
        <v>5</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5" customFormat="1" ht="30" customHeight="1" thickBot="1">
      <c r="A32" s="13"/>
      <c r="B32" s="82"/>
      <c r="C32" s="83"/>
      <c r="D32" s="84"/>
      <c r="E32" s="85"/>
      <c r="F32" s="85"/>
      <c r="G32" s="17"/>
      <c r="H32" s="5" t="str">
        <f t="shared" ca="1" si="5"/>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45" customFormat="1" ht="30" customHeight="1" thickBot="1">
      <c r="A33" s="14"/>
      <c r="B33" s="86" t="s">
        <v>42</v>
      </c>
      <c r="C33" s="87"/>
      <c r="D33" s="88"/>
      <c r="E33" s="89"/>
      <c r="F33" s="90"/>
      <c r="G33" s="17"/>
      <c r="H33" s="6" t="str">
        <f t="shared" ca="1" si="5"/>
        <v/>
      </c>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row>
    <row r="34" spans="1:64" ht="30" customHeight="1">
      <c r="G34" s="3"/>
    </row>
    <row r="35" spans="1:64" ht="30" customHeight="1">
      <c r="C35" s="16"/>
      <c r="F35" s="15"/>
    </row>
    <row r="36" spans="1:64" ht="30" customHeight="1">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5" t="s">
        <v>43</v>
      </c>
      <c r="B2" s="8"/>
    </row>
    <row r="3" spans="1:2" s="11" customFormat="1" ht="27" customHeight="1">
      <c r="A3" s="96"/>
      <c r="B3" s="12"/>
    </row>
    <row r="4" spans="1:2" s="10" customFormat="1" ht="30">
      <c r="A4" s="97" t="s">
        <v>44</v>
      </c>
    </row>
    <row r="5" spans="1:2" ht="74.25" customHeight="1">
      <c r="A5" s="98" t="s">
        <v>45</v>
      </c>
    </row>
    <row r="6" spans="1:2" ht="26.25" customHeight="1">
      <c r="A6" s="97" t="s">
        <v>46</v>
      </c>
    </row>
    <row r="7" spans="1:2" s="7" customFormat="1" ht="205.15" customHeight="1">
      <c r="A7" s="99" t="s">
        <v>47</v>
      </c>
    </row>
    <row r="8" spans="1:2" s="10" customFormat="1" ht="30">
      <c r="A8" s="97" t="s">
        <v>48</v>
      </c>
    </row>
    <row r="9" spans="1:2" ht="41.45">
      <c r="A9" s="98" t="s">
        <v>49</v>
      </c>
    </row>
    <row r="10" spans="1:2" s="7" customFormat="1" ht="28.15" customHeight="1">
      <c r="A10" s="100" t="s">
        <v>50</v>
      </c>
    </row>
    <row r="11" spans="1:2" s="10" customFormat="1" ht="30">
      <c r="A11" s="97" t="s">
        <v>51</v>
      </c>
    </row>
    <row r="12" spans="1:2" ht="27.6">
      <c r="A12" s="98" t="s">
        <v>52</v>
      </c>
    </row>
    <row r="13" spans="1:2" s="7" customFormat="1" ht="28.15" customHeight="1">
      <c r="A13" s="100" t="s">
        <v>53</v>
      </c>
    </row>
    <row r="14" spans="1:2" s="10" customFormat="1" ht="30">
      <c r="A14" s="97" t="s">
        <v>54</v>
      </c>
    </row>
    <row r="15" spans="1:2" ht="75" customHeight="1">
      <c r="A15" s="98" t="s">
        <v>55</v>
      </c>
    </row>
    <row r="16" spans="1:2" ht="69">
      <c r="A16" s="98" t="s">
        <v>56</v>
      </c>
    </row>
    <row r="17" spans="1:1">
      <c r="A17" s="101"/>
    </row>
    <row r="18" spans="1:1">
      <c r="A18" s="101"/>
    </row>
    <row r="19" spans="1:1">
      <c r="A19" s="101"/>
    </row>
    <row r="20" spans="1:1">
      <c r="A20" s="101"/>
    </row>
    <row r="21" spans="1:1">
      <c r="A21" s="101"/>
    </row>
    <row r="22" spans="1:1">
      <c r="A22" s="101"/>
    </row>
    <row r="23" spans="1:1">
      <c r="A23" s="101"/>
    </row>
    <row r="24" spans="1:1">
      <c r="A24" s="10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A09426A3-87E9-4865-8A6C-3456B026AE03}"/>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Abdi Aden</dc:creator>
  <cp:keywords/>
  <dc:description/>
  <cp:lastModifiedBy/>
  <cp:revision/>
  <dcterms:created xsi:type="dcterms:W3CDTF">2022-03-11T22:41:12Z</dcterms:created>
  <dcterms:modified xsi:type="dcterms:W3CDTF">2026-02-13T15:45:37Z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