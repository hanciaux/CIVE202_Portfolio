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uofnebraska-my.sharepoint.com/personal/10106906_nebraska_edu/Documents/UNO/Spring 2026/CIVE 202/Project 4/"/>
    </mc:Choice>
  </mc:AlternateContent>
  <xr:revisionPtr revIDLastSave="83" documentId="8_{80AA1CC7-D0CF-4AF3-82DC-2B78EB507B45}" xr6:coauthVersionLast="47" xr6:coauthVersionMax="47" xr10:uidLastSave="{5C03A49E-7B32-4730-8233-1384948AA4CD}"/>
  <bookViews>
    <workbookView xWindow="-80" yWindow="-80" windowWidth="19360" windowHeight="1144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H5" i="11" l="1"/>
  <c r="H4" i="11" s="1"/>
  <c r="G23" i="11"/>
  <c r="G19" i="11"/>
  <c r="G12" i="11"/>
  <c r="G8" i="11"/>
  <c r="G9" i="11" l="1"/>
  <c r="H6" i="11"/>
  <c r="G21" i="11" l="1"/>
  <c r="G20" i="11"/>
  <c r="G11" i="11"/>
  <c r="G22" i="11"/>
  <c r="G13" i="11"/>
  <c r="I5" i="11"/>
  <c r="J5" i="11" s="1"/>
  <c r="K5" i="11" s="1"/>
  <c r="L5" i="11" s="1"/>
  <c r="M5" i="11" s="1"/>
  <c r="N5" i="11" s="1"/>
  <c r="O5" i="11" s="1"/>
  <c r="G17" i="11" l="1"/>
  <c r="O4" i="1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<sst xmlns="http://schemas.openxmlformats.org/spreadsheetml/2006/main" count="54" uniqueCount="47">
  <si>
    <t>Project #4</t>
  </si>
  <si>
    <t>Project start:</t>
  </si>
  <si>
    <t>Logan Baardson, Max Perry, Nomaan Ahmed, Hunter Anciaux</t>
  </si>
  <si>
    <t>Display week:</t>
  </si>
  <si>
    <t>SIMPLE GANTT CHART by Vertex42.com</t>
  </si>
  <si>
    <t>https://www.vertex42.com/ExcelTemplates/simple-gantt-chart.html</t>
  </si>
  <si>
    <t>TASK</t>
  </si>
  <si>
    <t>ASSIGNED TO</t>
  </si>
  <si>
    <t>START</t>
  </si>
  <si>
    <t>END</t>
  </si>
  <si>
    <t xml:space="preserve">Do not delete this row. This row is hidden to preserve a formula that is used to highlight the current day within the project schedule. </t>
  </si>
  <si>
    <t>Project Management</t>
  </si>
  <si>
    <t>Gantt chart</t>
  </si>
  <si>
    <t>Logan Baardson</t>
  </si>
  <si>
    <t>SOW</t>
  </si>
  <si>
    <t>Logan Baardson and Max Perry</t>
  </si>
  <si>
    <t>Github Repository</t>
  </si>
  <si>
    <t>Technical Implementation</t>
  </si>
  <si>
    <t>Choosing Hazards</t>
  </si>
  <si>
    <t>All</t>
  </si>
  <si>
    <t>Definition of Risk</t>
  </si>
  <si>
    <t>Hunter Anciaux</t>
  </si>
  <si>
    <t>Clea</t>
  </si>
  <si>
    <t>Cleaning and Saving Data</t>
  </si>
  <si>
    <t>Geopandas Research</t>
  </si>
  <si>
    <t>Generating Summary Tables</t>
  </si>
  <si>
    <t>Max Perry</t>
  </si>
  <si>
    <t>Generating Map in Geopandas</t>
  </si>
  <si>
    <t>Documentation</t>
  </si>
  <si>
    <t>Written Report</t>
  </si>
  <si>
    <t>Annotated Code Document</t>
  </si>
  <si>
    <t xml:space="preserve">Nomaan Ahmed  </t>
  </si>
  <si>
    <t>Timesheet</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</si>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</sst>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2"/>
      <color theme="9"/>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0" borderId="18" xfId="0" applyNumberFormat="1" applyFont="1" applyFill="1" applyBorder="1" applyAlignment="1">
      <alignment horizontal="center" vertical="center"/>
    </xf>
    <xf numFmtId="167" fontId="21" fillId="10" borderId="16" xfId="0" applyNumberFormat="1" applyFont="1" applyFill="1" applyBorder="1" applyAlignment="1">
      <alignment horizontal="center" vertical="center"/>
    </xf>
    <xf numFmtId="167"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0"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6" xfId="11" applyFont="1" applyFill="1" applyBorder="1">
      <alignment horizontal="left" vertical="center" indent="2"/>
    </xf>
    <xf numFmtId="0" fontId="19" fillId="3" borderId="6" xfId="10" applyFont="1" applyFill="1" applyBorder="1" applyAlignment="1">
      <alignment vertical="center"/>
    </xf>
    <xf numFmtId="164" fontId="19" fillId="3" borderId="6" xfId="9" applyFont="1" applyFill="1" applyBorder="1">
      <alignment horizontal="center" vertical="center"/>
    </xf>
    <xf numFmtId="0" fontId="4" fillId="0" borderId="4" xfId="0" applyFont="1" applyBorder="1" applyAlignment="1">
      <alignment vertical="center"/>
    </xf>
    <xf numFmtId="0" fontId="19" fillId="3" borderId="7" xfId="11" applyFont="1" applyFill="1" applyBorder="1">
      <alignment horizontal="left" vertical="center" indent="2"/>
    </xf>
    <xf numFmtId="164" fontId="19" fillId="3" borderId="7" xfId="9"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0"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lignment horizontal="left" vertical="center" indent="2"/>
    </xf>
    <xf numFmtId="0" fontId="19" fillId="4" borderId="5" xfId="10" applyFont="1" applyFill="1" applyBorder="1" applyAlignment="1">
      <alignment vertical="center"/>
    </xf>
    <xf numFmtId="164" fontId="19" fillId="4" borderId="5" xfId="9" applyFont="1" applyFill="1" applyBorder="1">
      <alignment horizontal="center" vertical="center"/>
    </xf>
    <xf numFmtId="0" fontId="23" fillId="8" borderId="0" xfId="0" applyFont="1" applyFill="1" applyAlignment="1">
      <alignment horizontal="left" vertical="center" indent="1"/>
    </xf>
    <xf numFmtId="0" fontId="19" fillId="8" borderId="0" xfId="10"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9" xfId="0" applyFont="1" applyBorder="1" applyAlignment="1">
      <alignment vertical="center"/>
    </xf>
    <xf numFmtId="0" fontId="19" fillId="5" borderId="8" xfId="11" applyFont="1" applyFill="1" applyBorder="1">
      <alignment horizontal="left" vertical="center" indent="2"/>
    </xf>
    <xf numFmtId="0" fontId="19" fillId="5" borderId="8" xfId="10" applyFont="1" applyFill="1" applyBorder="1" applyAlignment="1">
      <alignment vertical="center"/>
    </xf>
    <xf numFmtId="164" fontId="19" fillId="5" borderId="8" xfId="9"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9" fillId="0" borderId="0" xfId="4"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2" applyAlignment="1">
      <alignment wrapText="1"/>
    </xf>
    <xf numFmtId="0" fontId="32" fillId="0" borderId="0" xfId="5" applyFont="1" applyAlignment="1">
      <alignment horizontal="left" vertical="center" indent="1"/>
    </xf>
    <xf numFmtId="0" fontId="13" fillId="0" borderId="0" xfId="2"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xf numFmtId="0" fontId="20" fillId="9" borderId="14" xfId="0" applyFont="1" applyFill="1" applyBorder="1" applyAlignment="1">
      <alignment horizontal="center" vertical="center"/>
    </xf>
    <xf numFmtId="0" fontId="27" fillId="0" borderId="0" xfId="0" applyFont="1" applyAlignment="1">
      <alignment horizontal="left"/>
    </xf>
    <xf numFmtId="165" fontId="27" fillId="0" borderId="0" xfId="8" applyFont="1" applyBorder="1" applyAlignment="1">
      <alignment horizontal="left"/>
    </xf>
    <xf numFmtId="0" fontId="26" fillId="0" borderId="0" xfId="7" applyFont="1" applyAlignment="1">
      <alignment horizontal="left"/>
    </xf>
    <xf numFmtId="166" fontId="19" fillId="2" borderId="11"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166" fontId="19" fillId="2" borderId="16"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19" xfId="0" applyFont="1" applyFill="1" applyBorder="1" applyAlignment="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26"/>
  <sheetViews>
    <sheetView showGridLines="0" tabSelected="1" showRuler="0" topLeftCell="A15" zoomScaleNormal="100" zoomScalePageLayoutView="70" workbookViewId="0">
      <selection activeCell="C19" sqref="C19"/>
    </sheetView>
  </sheetViews>
  <sheetFormatPr defaultColWidth="8.75" defaultRowHeight="30" customHeight="1"/>
  <cols>
    <col min="1" max="1" width="2.75" style="13" customWidth="1"/>
    <col min="2" max="2" width="35.375" customWidth="1"/>
    <col min="3" max="3" width="26.625" customWidth="1"/>
    <col min="4" max="4" width="10.75" style="2" customWidth="1"/>
    <col min="5" max="5" width="10.75" customWidth="1"/>
    <col min="6" max="6" width="2.75" customWidth="1"/>
    <col min="7" max="7" width="6" hidden="1" customWidth="1"/>
    <col min="8" max="64" width="2.75" customWidth="1"/>
  </cols>
  <sheetData>
    <row r="1" spans="1:63" ht="90" customHeight="1">
      <c r="A1" s="79"/>
      <c r="B1" s="71" t="s">
        <v>0</v>
      </c>
      <c r="C1" s="17"/>
      <c r="D1" s="18"/>
      <c r="E1" s="19"/>
      <c r="G1" s="1"/>
      <c r="H1" s="88" t="s">
        <v>1</v>
      </c>
      <c r="I1" s="92"/>
      <c r="J1" s="92"/>
      <c r="K1" s="92"/>
      <c r="L1" s="92"/>
      <c r="M1" s="92"/>
      <c r="N1" s="92"/>
      <c r="O1" s="22"/>
      <c r="P1" s="87">
        <v>46077</v>
      </c>
      <c r="Q1" s="93"/>
      <c r="R1" s="93"/>
      <c r="S1" s="93"/>
      <c r="T1" s="93"/>
      <c r="U1" s="93"/>
      <c r="V1" s="93"/>
      <c r="W1" s="93"/>
      <c r="X1" s="93"/>
      <c r="Y1" s="93"/>
    </row>
    <row r="2" spans="1:63" ht="30" customHeight="1">
      <c r="B2" s="80" t="s">
        <v>2</v>
      </c>
      <c r="C2" s="70"/>
      <c r="D2" s="21"/>
      <c r="E2" s="20"/>
      <c r="H2" s="88" t="s">
        <v>3</v>
      </c>
      <c r="I2" s="92"/>
      <c r="J2" s="92"/>
      <c r="K2" s="92"/>
      <c r="L2" s="92"/>
      <c r="M2" s="92"/>
      <c r="N2" s="92"/>
      <c r="O2" s="22"/>
      <c r="P2" s="86">
        <v>1</v>
      </c>
      <c r="Q2" s="93"/>
      <c r="R2" s="93"/>
      <c r="S2" s="93"/>
      <c r="T2" s="93"/>
      <c r="U2" s="93"/>
      <c r="V2" s="93"/>
      <c r="W2" s="93"/>
      <c r="X2" s="93"/>
      <c r="Y2" s="93"/>
    </row>
    <row r="3" spans="1:63" s="24" customFormat="1" ht="30" customHeight="1">
      <c r="A3" s="13"/>
      <c r="B3" s="23" t="s">
        <v>4</v>
      </c>
      <c r="D3" s="25"/>
    </row>
    <row r="4" spans="1:63" s="24" customFormat="1" ht="30" customHeight="1">
      <c r="A4" s="79"/>
      <c r="B4" s="26" t="s">
        <v>5</v>
      </c>
      <c r="D4" s="27"/>
      <c r="H4" s="91">
        <f>H5</f>
        <v>46076</v>
      </c>
      <c r="I4" s="89"/>
      <c r="J4" s="89"/>
      <c r="K4" s="89"/>
      <c r="L4" s="89"/>
      <c r="M4" s="89"/>
      <c r="N4" s="89"/>
      <c r="O4" s="89">
        <f>O5</f>
        <v>46083</v>
      </c>
      <c r="P4" s="89"/>
      <c r="Q4" s="89"/>
      <c r="R4" s="89"/>
      <c r="S4" s="89"/>
      <c r="T4" s="89"/>
      <c r="U4" s="89"/>
      <c r="V4" s="89">
        <f>V5</f>
        <v>46090</v>
      </c>
      <c r="W4" s="89"/>
      <c r="X4" s="89"/>
      <c r="Y4" s="89"/>
      <c r="Z4" s="89"/>
      <c r="AA4" s="89"/>
      <c r="AB4" s="89"/>
      <c r="AC4" s="89">
        <f>AC5</f>
        <v>46097</v>
      </c>
      <c r="AD4" s="89"/>
      <c r="AE4" s="89"/>
      <c r="AF4" s="89"/>
      <c r="AG4" s="89"/>
      <c r="AH4" s="89"/>
      <c r="AI4" s="89"/>
      <c r="AJ4" s="89">
        <f>AJ5</f>
        <v>46104</v>
      </c>
      <c r="AK4" s="89"/>
      <c r="AL4" s="89"/>
      <c r="AM4" s="89"/>
      <c r="AN4" s="89"/>
      <c r="AO4" s="89"/>
      <c r="AP4" s="89"/>
      <c r="AQ4" s="89">
        <f>AQ5</f>
        <v>46111</v>
      </c>
      <c r="AR4" s="89"/>
      <c r="AS4" s="89"/>
      <c r="AT4" s="89"/>
      <c r="AU4" s="89"/>
      <c r="AV4" s="89"/>
      <c r="AW4" s="89"/>
      <c r="AX4" s="89">
        <f>AX5</f>
        <v>46118</v>
      </c>
      <c r="AY4" s="89"/>
      <c r="AZ4" s="89"/>
      <c r="BA4" s="89"/>
      <c r="BB4" s="89"/>
      <c r="BC4" s="89"/>
      <c r="BD4" s="89"/>
      <c r="BE4" s="89">
        <f>BE5</f>
        <v>46125</v>
      </c>
      <c r="BF4" s="89"/>
      <c r="BG4" s="89"/>
      <c r="BH4" s="89"/>
      <c r="BI4" s="89"/>
      <c r="BJ4" s="89"/>
      <c r="BK4" s="90"/>
    </row>
    <row r="5" spans="1:63" s="24" customFormat="1" ht="15" customHeight="1">
      <c r="A5" s="81"/>
      <c r="B5" s="82" t="s">
        <v>6</v>
      </c>
      <c r="C5" s="84" t="s">
        <v>7</v>
      </c>
      <c r="D5" s="85" t="s">
        <v>8</v>
      </c>
      <c r="E5" s="85" t="s">
        <v>9</v>
      </c>
      <c r="H5" s="28">
        <f>Project_Start-WEEKDAY(Project_Start,1)+2+7*(Display_Week-1)</f>
        <v>46076</v>
      </c>
      <c r="I5" s="28">
        <f>H5+1</f>
        <v>46077</v>
      </c>
      <c r="J5" s="28">
        <f t="shared" ref="J5:AW5" si="0">I5+1</f>
        <v>46078</v>
      </c>
      <c r="K5" s="28">
        <f t="shared" si="0"/>
        <v>46079</v>
      </c>
      <c r="L5" s="28">
        <f t="shared" si="0"/>
        <v>46080</v>
      </c>
      <c r="M5" s="28">
        <f t="shared" si="0"/>
        <v>46081</v>
      </c>
      <c r="N5" s="29">
        <f t="shared" si="0"/>
        <v>46082</v>
      </c>
      <c r="O5" s="30">
        <f>N5+1</f>
        <v>46083</v>
      </c>
      <c r="P5" s="28">
        <f>O5+1</f>
        <v>46084</v>
      </c>
      <c r="Q5" s="28">
        <f t="shared" si="0"/>
        <v>46085</v>
      </c>
      <c r="R5" s="28">
        <f t="shared" si="0"/>
        <v>46086</v>
      </c>
      <c r="S5" s="28">
        <f t="shared" si="0"/>
        <v>46087</v>
      </c>
      <c r="T5" s="28">
        <f t="shared" si="0"/>
        <v>46088</v>
      </c>
      <c r="U5" s="29">
        <f t="shared" si="0"/>
        <v>46089</v>
      </c>
      <c r="V5" s="30">
        <f>U5+1</f>
        <v>46090</v>
      </c>
      <c r="W5" s="28">
        <f>V5+1</f>
        <v>46091</v>
      </c>
      <c r="X5" s="28">
        <f t="shared" si="0"/>
        <v>46092</v>
      </c>
      <c r="Y5" s="28">
        <f t="shared" si="0"/>
        <v>46093</v>
      </c>
      <c r="Z5" s="28">
        <f t="shared" si="0"/>
        <v>46094</v>
      </c>
      <c r="AA5" s="28">
        <f t="shared" si="0"/>
        <v>46095</v>
      </c>
      <c r="AB5" s="29">
        <f t="shared" si="0"/>
        <v>46096</v>
      </c>
      <c r="AC5" s="30">
        <f>AB5+1</f>
        <v>46097</v>
      </c>
      <c r="AD5" s="28">
        <f>AC5+1</f>
        <v>46098</v>
      </c>
      <c r="AE5" s="28">
        <f t="shared" si="0"/>
        <v>46099</v>
      </c>
      <c r="AF5" s="28">
        <f t="shared" si="0"/>
        <v>46100</v>
      </c>
      <c r="AG5" s="28">
        <f t="shared" si="0"/>
        <v>46101</v>
      </c>
      <c r="AH5" s="28">
        <f t="shared" si="0"/>
        <v>46102</v>
      </c>
      <c r="AI5" s="29">
        <f t="shared" si="0"/>
        <v>46103</v>
      </c>
      <c r="AJ5" s="30">
        <f>AI5+1</f>
        <v>46104</v>
      </c>
      <c r="AK5" s="28">
        <f>AJ5+1</f>
        <v>46105</v>
      </c>
      <c r="AL5" s="28">
        <f t="shared" si="0"/>
        <v>46106</v>
      </c>
      <c r="AM5" s="28">
        <f t="shared" si="0"/>
        <v>46107</v>
      </c>
      <c r="AN5" s="28">
        <f t="shared" si="0"/>
        <v>46108</v>
      </c>
      <c r="AO5" s="28">
        <f t="shared" si="0"/>
        <v>46109</v>
      </c>
      <c r="AP5" s="29">
        <f t="shared" si="0"/>
        <v>46110</v>
      </c>
      <c r="AQ5" s="30">
        <f>AP5+1</f>
        <v>46111</v>
      </c>
      <c r="AR5" s="28">
        <f>AQ5+1</f>
        <v>46112</v>
      </c>
      <c r="AS5" s="28">
        <f t="shared" si="0"/>
        <v>46113</v>
      </c>
      <c r="AT5" s="28">
        <f t="shared" si="0"/>
        <v>46114</v>
      </c>
      <c r="AU5" s="28">
        <f t="shared" si="0"/>
        <v>46115</v>
      </c>
      <c r="AV5" s="28">
        <f t="shared" si="0"/>
        <v>46116</v>
      </c>
      <c r="AW5" s="29">
        <f t="shared" si="0"/>
        <v>46117</v>
      </c>
      <c r="AX5" s="30">
        <f>AW5+1</f>
        <v>46118</v>
      </c>
      <c r="AY5" s="28">
        <f>AX5+1</f>
        <v>46119</v>
      </c>
      <c r="AZ5" s="28">
        <f t="shared" ref="AZ5:BD5" si="1">AY5+1</f>
        <v>46120</v>
      </c>
      <c r="BA5" s="28">
        <f t="shared" si="1"/>
        <v>46121</v>
      </c>
      <c r="BB5" s="28">
        <f t="shared" si="1"/>
        <v>46122</v>
      </c>
      <c r="BC5" s="28">
        <f t="shared" si="1"/>
        <v>46123</v>
      </c>
      <c r="BD5" s="29">
        <f t="shared" si="1"/>
        <v>46124</v>
      </c>
      <c r="BE5" s="30">
        <f>BD5+1</f>
        <v>46125</v>
      </c>
      <c r="BF5" s="28">
        <f>BE5+1</f>
        <v>46126</v>
      </c>
      <c r="BG5" s="28">
        <f t="shared" ref="BG5:BK5" si="2">BF5+1</f>
        <v>46127</v>
      </c>
      <c r="BH5" s="28">
        <f t="shared" si="2"/>
        <v>46128</v>
      </c>
      <c r="BI5" s="28">
        <f t="shared" si="2"/>
        <v>46129</v>
      </c>
      <c r="BJ5" s="28">
        <f t="shared" si="2"/>
        <v>46130</v>
      </c>
      <c r="BK5" s="28">
        <f t="shared" si="2"/>
        <v>46131</v>
      </c>
    </row>
    <row r="6" spans="1:63" s="24" customFormat="1" ht="15" customHeight="1" thickBot="1">
      <c r="A6" s="81"/>
      <c r="B6" s="83"/>
      <c r="C6" s="94"/>
      <c r="D6" s="94"/>
      <c r="E6" s="94"/>
      <c r="H6" s="31" t="str">
        <f t="shared" ref="H6:AM6" si="3">LEFT(TEXT(H5,"ddd"),1)</f>
        <v>M</v>
      </c>
      <c r="I6" s="32" t="str">
        <f t="shared" si="3"/>
        <v>T</v>
      </c>
      <c r="J6" s="32" t="str">
        <f t="shared" si="3"/>
        <v>W</v>
      </c>
      <c r="K6" s="32" t="str">
        <f t="shared" si="3"/>
        <v>T</v>
      </c>
      <c r="L6" s="32" t="str">
        <f t="shared" si="3"/>
        <v>F</v>
      </c>
      <c r="M6" s="32" t="str">
        <f t="shared" si="3"/>
        <v>S</v>
      </c>
      <c r="N6" s="32" t="str">
        <f t="shared" si="3"/>
        <v>S</v>
      </c>
      <c r="O6" s="32" t="str">
        <f t="shared" si="3"/>
        <v>M</v>
      </c>
      <c r="P6" s="32" t="str">
        <f t="shared" si="3"/>
        <v>T</v>
      </c>
      <c r="Q6" s="32" t="str">
        <f t="shared" si="3"/>
        <v>W</v>
      </c>
      <c r="R6" s="32" t="str">
        <f t="shared" si="3"/>
        <v>T</v>
      </c>
      <c r="S6" s="32" t="str">
        <f t="shared" si="3"/>
        <v>F</v>
      </c>
      <c r="T6" s="32" t="str">
        <f t="shared" si="3"/>
        <v>S</v>
      </c>
      <c r="U6" s="32" t="str">
        <f t="shared" si="3"/>
        <v>S</v>
      </c>
      <c r="V6" s="32" t="str">
        <f t="shared" si="3"/>
        <v>M</v>
      </c>
      <c r="W6" s="32" t="str">
        <f t="shared" si="3"/>
        <v>T</v>
      </c>
      <c r="X6" s="32" t="str">
        <f t="shared" si="3"/>
        <v>W</v>
      </c>
      <c r="Y6" s="32" t="str">
        <f t="shared" si="3"/>
        <v>T</v>
      </c>
      <c r="Z6" s="32" t="str">
        <f t="shared" si="3"/>
        <v>F</v>
      </c>
      <c r="AA6" s="32" t="str">
        <f t="shared" si="3"/>
        <v>S</v>
      </c>
      <c r="AB6" s="32" t="str">
        <f t="shared" si="3"/>
        <v>S</v>
      </c>
      <c r="AC6" s="32" t="str">
        <f t="shared" si="3"/>
        <v>M</v>
      </c>
      <c r="AD6" s="32" t="str">
        <f t="shared" si="3"/>
        <v>T</v>
      </c>
      <c r="AE6" s="32" t="str">
        <f t="shared" si="3"/>
        <v>W</v>
      </c>
      <c r="AF6" s="32" t="str">
        <f t="shared" si="3"/>
        <v>T</v>
      </c>
      <c r="AG6" s="32" t="str">
        <f t="shared" si="3"/>
        <v>F</v>
      </c>
      <c r="AH6" s="32" t="str">
        <f t="shared" si="3"/>
        <v>S</v>
      </c>
      <c r="AI6" s="32" t="str">
        <f t="shared" si="3"/>
        <v>S</v>
      </c>
      <c r="AJ6" s="32" t="str">
        <f t="shared" si="3"/>
        <v>M</v>
      </c>
      <c r="AK6" s="32" t="str">
        <f t="shared" si="3"/>
        <v>T</v>
      </c>
      <c r="AL6" s="32" t="str">
        <f t="shared" si="3"/>
        <v>W</v>
      </c>
      <c r="AM6" s="32" t="str">
        <f t="shared" si="3"/>
        <v>T</v>
      </c>
      <c r="AN6" s="32" t="str">
        <f t="shared" ref="AN6:BK6" si="4">LEFT(TEXT(AN5,"ddd"),1)</f>
        <v>F</v>
      </c>
      <c r="AO6" s="32" t="str">
        <f t="shared" si="4"/>
        <v>S</v>
      </c>
      <c r="AP6" s="32" t="str">
        <f t="shared" si="4"/>
        <v>S</v>
      </c>
      <c r="AQ6" s="32" t="str">
        <f t="shared" si="4"/>
        <v>M</v>
      </c>
      <c r="AR6" s="32" t="str">
        <f t="shared" si="4"/>
        <v>T</v>
      </c>
      <c r="AS6" s="32" t="str">
        <f t="shared" si="4"/>
        <v>W</v>
      </c>
      <c r="AT6" s="32" t="str">
        <f t="shared" si="4"/>
        <v>T</v>
      </c>
      <c r="AU6" s="32" t="str">
        <f t="shared" si="4"/>
        <v>F</v>
      </c>
      <c r="AV6" s="32" t="str">
        <f t="shared" si="4"/>
        <v>S</v>
      </c>
      <c r="AW6" s="32" t="str">
        <f t="shared" si="4"/>
        <v>S</v>
      </c>
      <c r="AX6" s="32" t="str">
        <f t="shared" si="4"/>
        <v>M</v>
      </c>
      <c r="AY6" s="32" t="str">
        <f t="shared" si="4"/>
        <v>T</v>
      </c>
      <c r="AZ6" s="32" t="str">
        <f t="shared" si="4"/>
        <v>W</v>
      </c>
      <c r="BA6" s="32" t="str">
        <f t="shared" si="4"/>
        <v>T</v>
      </c>
      <c r="BB6" s="32" t="str">
        <f t="shared" si="4"/>
        <v>F</v>
      </c>
      <c r="BC6" s="32" t="str">
        <f t="shared" si="4"/>
        <v>S</v>
      </c>
      <c r="BD6" s="32" t="str">
        <f t="shared" si="4"/>
        <v>S</v>
      </c>
      <c r="BE6" s="32" t="str">
        <f t="shared" si="4"/>
        <v>M</v>
      </c>
      <c r="BF6" s="32" t="str">
        <f t="shared" si="4"/>
        <v>T</v>
      </c>
      <c r="BG6" s="32" t="str">
        <f t="shared" si="4"/>
        <v>W</v>
      </c>
      <c r="BH6" s="32" t="str">
        <f t="shared" si="4"/>
        <v>T</v>
      </c>
      <c r="BI6" s="32" t="str">
        <f t="shared" si="4"/>
        <v>F</v>
      </c>
      <c r="BJ6" s="32" t="str">
        <f t="shared" si="4"/>
        <v>S</v>
      </c>
      <c r="BK6" s="33" t="str">
        <f t="shared" si="4"/>
        <v>S</v>
      </c>
    </row>
    <row r="7" spans="1:63" s="24" customFormat="1" ht="30" hidden="1" customHeight="1" thickBot="1">
      <c r="A7" s="13" t="s">
        <v>10</v>
      </c>
      <c r="B7" s="34"/>
      <c r="C7" s="35"/>
      <c r="D7" s="34"/>
      <c r="E7" s="34"/>
      <c r="G7" s="24" t="str">
        <f ca="1">IF(OR(ISBLANK(task_start),ISBLANK(task_end)),"",task_end-task_start+1)</f>
        <v/>
      </c>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row>
    <row r="8" spans="1:63" s="42" customFormat="1" ht="30" customHeight="1" thickBot="1">
      <c r="A8" s="79"/>
      <c r="B8" s="37" t="s">
        <v>11</v>
      </c>
      <c r="C8" s="38"/>
      <c r="D8" s="39"/>
      <c r="E8" s="40"/>
      <c r="F8" s="16"/>
      <c r="G8" s="5" t="str">
        <f t="shared" ref="G8:G23" ca="1" si="5">IF(OR(ISBLANK(task_start),ISBLANK(task_end)),"",task_end-task_start+1)</f>
        <v/>
      </c>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row>
    <row r="9" spans="1:63" s="42" customFormat="1" ht="30" customHeight="1" thickBot="1">
      <c r="A9" s="79"/>
      <c r="B9" s="43" t="s">
        <v>12</v>
      </c>
      <c r="C9" s="44" t="s">
        <v>13</v>
      </c>
      <c r="D9" s="45">
        <v>46123</v>
      </c>
      <c r="E9" s="45">
        <v>46132</v>
      </c>
      <c r="F9" s="16"/>
      <c r="G9" s="5">
        <f t="shared" ca="1" si="5"/>
        <v>10</v>
      </c>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row>
    <row r="10" spans="1:63" s="42" customFormat="1" ht="30" customHeight="1" thickBot="1">
      <c r="A10" s="79"/>
      <c r="B10" s="47" t="s">
        <v>14</v>
      </c>
      <c r="C10" s="44" t="s">
        <v>15</v>
      </c>
      <c r="D10" s="48">
        <v>46110</v>
      </c>
      <c r="E10" s="48">
        <v>46115</v>
      </c>
      <c r="F10" s="16"/>
      <c r="G10" s="5"/>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row>
    <row r="11" spans="1:63" s="42" customFormat="1" ht="30" customHeight="1" thickBot="1">
      <c r="A11" s="79"/>
      <c r="B11" s="47" t="s">
        <v>16</v>
      </c>
      <c r="C11" s="44" t="s">
        <v>13</v>
      </c>
      <c r="D11" s="48">
        <v>46130</v>
      </c>
      <c r="E11" s="48">
        <v>46133</v>
      </c>
      <c r="F11" s="16"/>
      <c r="G11" s="5">
        <f t="shared" ca="1" si="5"/>
        <v>4</v>
      </c>
      <c r="H11" s="46"/>
      <c r="I11" s="46"/>
      <c r="J11" s="46"/>
      <c r="K11" s="46"/>
      <c r="L11" s="46"/>
      <c r="M11" s="46"/>
      <c r="N11" s="46"/>
      <c r="O11" s="46"/>
      <c r="P11" s="46"/>
      <c r="Q11" s="46"/>
      <c r="R11" s="46"/>
      <c r="S11" s="46"/>
      <c r="T11" s="49"/>
      <c r="U11" s="49"/>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row>
    <row r="12" spans="1:63" s="42" customFormat="1" ht="30" customHeight="1" thickBot="1">
      <c r="A12" s="79"/>
      <c r="B12" s="50" t="s">
        <v>17</v>
      </c>
      <c r="C12" s="51"/>
      <c r="D12" s="52"/>
      <c r="E12" s="53"/>
      <c r="F12" s="16"/>
      <c r="G12" s="5" t="str">
        <f t="shared" ca="1" si="5"/>
        <v/>
      </c>
    </row>
    <row r="13" spans="1:63" s="42" customFormat="1" ht="30" customHeight="1" thickBot="1">
      <c r="A13" s="79"/>
      <c r="B13" s="54" t="s">
        <v>18</v>
      </c>
      <c r="C13" s="55" t="s">
        <v>19</v>
      </c>
      <c r="D13" s="56">
        <v>46115</v>
      </c>
      <c r="E13" s="56">
        <v>46115</v>
      </c>
      <c r="F13" s="16"/>
      <c r="G13" s="5">
        <f t="shared" ca="1" si="5"/>
        <v>1</v>
      </c>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row>
    <row r="14" spans="1:63" s="42" customFormat="1" ht="30" customHeight="1" thickBot="1">
      <c r="A14" s="79"/>
      <c r="B14" s="54" t="s">
        <v>20</v>
      </c>
      <c r="C14" s="55" t="s">
        <v>21</v>
      </c>
      <c r="D14" s="56">
        <v>46115</v>
      </c>
      <c r="E14" s="56">
        <v>46122</v>
      </c>
      <c r="F14" s="16"/>
      <c r="G14" s="5"/>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row>
    <row r="15" spans="1:63" s="42" customFormat="1" ht="30" customHeight="1" thickBot="1">
      <c r="A15" s="79" t="s">
        <v>22</v>
      </c>
      <c r="B15" s="54" t="s">
        <v>23</v>
      </c>
      <c r="C15" s="55" t="s">
        <v>21</v>
      </c>
      <c r="D15" s="56">
        <v>46115</v>
      </c>
      <c r="E15" s="56">
        <v>46122</v>
      </c>
      <c r="F15" s="16"/>
      <c r="G15" s="5"/>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row>
    <row r="16" spans="1:63" s="42" customFormat="1" ht="30" customHeight="1" thickBot="1">
      <c r="A16" s="79"/>
      <c r="B16" s="54" t="s">
        <v>24</v>
      </c>
      <c r="C16" s="55" t="s">
        <v>21</v>
      </c>
      <c r="D16" s="56">
        <v>46122</v>
      </c>
      <c r="E16" s="56">
        <v>46129</v>
      </c>
      <c r="F16" s="16"/>
      <c r="G16" s="5"/>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row>
    <row r="17" spans="1:63" s="42" customFormat="1" ht="30" customHeight="1" thickBot="1">
      <c r="A17" s="13"/>
      <c r="B17" s="54" t="s">
        <v>25</v>
      </c>
      <c r="C17" s="55" t="s">
        <v>26</v>
      </c>
      <c r="D17" s="56">
        <v>46127</v>
      </c>
      <c r="E17" s="56">
        <v>46133</v>
      </c>
      <c r="F17" s="16"/>
      <c r="G17" s="5">
        <f t="shared" ca="1" si="5"/>
        <v>7</v>
      </c>
      <c r="H17" s="46"/>
      <c r="I17" s="46"/>
      <c r="J17" s="46"/>
      <c r="K17" s="46"/>
      <c r="L17" s="46"/>
      <c r="M17" s="46"/>
      <c r="N17" s="46"/>
      <c r="O17" s="46"/>
      <c r="P17" s="46"/>
      <c r="Q17" s="46"/>
      <c r="R17" s="46"/>
      <c r="S17" s="46"/>
      <c r="T17" s="49"/>
      <c r="U17" s="49"/>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row>
    <row r="18" spans="1:63" s="42" customFormat="1" ht="30" customHeight="1" thickBot="1">
      <c r="A18" s="13"/>
      <c r="B18" s="54" t="s">
        <v>27</v>
      </c>
      <c r="C18" s="55" t="s">
        <v>26</v>
      </c>
      <c r="D18" s="56">
        <v>46127</v>
      </c>
      <c r="E18" s="56">
        <v>46132</v>
      </c>
      <c r="F18" s="16"/>
      <c r="G18" s="5"/>
      <c r="H18" s="46"/>
      <c r="I18" s="46"/>
      <c r="J18" s="46"/>
      <c r="K18" s="46"/>
      <c r="L18" s="46"/>
      <c r="M18" s="46"/>
      <c r="N18" s="46"/>
      <c r="O18" s="46"/>
      <c r="P18" s="46"/>
      <c r="Q18" s="46"/>
      <c r="R18" s="46"/>
      <c r="S18" s="46"/>
      <c r="T18" s="49"/>
      <c r="U18" s="49"/>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row>
    <row r="19" spans="1:63" s="42" customFormat="1" ht="30" customHeight="1" thickBot="1">
      <c r="A19" s="13"/>
      <c r="B19" s="57" t="s">
        <v>28</v>
      </c>
      <c r="C19" s="58"/>
      <c r="D19" s="59"/>
      <c r="E19" s="60"/>
      <c r="F19" s="16"/>
      <c r="G19" s="5" t="str">
        <f t="shared" ca="1" si="5"/>
        <v/>
      </c>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row>
    <row r="20" spans="1:63" s="42" customFormat="1" ht="30" customHeight="1" thickBot="1">
      <c r="A20" s="13"/>
      <c r="B20" s="62" t="s">
        <v>29</v>
      </c>
      <c r="C20" s="63" t="s">
        <v>21</v>
      </c>
      <c r="D20" s="64">
        <v>46130</v>
      </c>
      <c r="E20" s="64">
        <v>46133</v>
      </c>
      <c r="F20" s="16"/>
      <c r="G20" s="5">
        <f t="shared" ca="1" si="5"/>
        <v>4</v>
      </c>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row>
    <row r="21" spans="1:63" s="42" customFormat="1" ht="30" customHeight="1" thickBot="1">
      <c r="A21" s="13"/>
      <c r="B21" s="62" t="s">
        <v>30</v>
      </c>
      <c r="C21" s="63" t="s">
        <v>31</v>
      </c>
      <c r="D21" s="64">
        <v>46130</v>
      </c>
      <c r="E21" s="64">
        <v>46133</v>
      </c>
      <c r="F21" s="16"/>
      <c r="G21" s="5">
        <f t="shared" ca="1" si="5"/>
        <v>4</v>
      </c>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row>
    <row r="22" spans="1:63" s="42" customFormat="1" ht="30" customHeight="1" thickBot="1">
      <c r="A22" s="13"/>
      <c r="B22" s="62" t="s">
        <v>32</v>
      </c>
      <c r="C22" s="63" t="s">
        <v>19</v>
      </c>
      <c r="D22" s="64">
        <v>46108</v>
      </c>
      <c r="E22" s="64">
        <v>46133</v>
      </c>
      <c r="F22" s="16"/>
      <c r="G22" s="5">
        <f t="shared" ca="1" si="5"/>
        <v>26</v>
      </c>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row>
    <row r="23" spans="1:63" s="42" customFormat="1" ht="30" customHeight="1" thickBot="1">
      <c r="A23" s="79"/>
      <c r="B23" s="65" t="s">
        <v>33</v>
      </c>
      <c r="C23" s="66"/>
      <c r="D23" s="67"/>
      <c r="E23" s="68"/>
      <c r="F23" s="16"/>
      <c r="G23" s="6" t="str">
        <f t="shared" ca="1" si="5"/>
        <v/>
      </c>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row>
    <row r="24" spans="1:63" ht="30" customHeight="1">
      <c r="F24" s="3"/>
    </row>
    <row r="25" spans="1:63" ht="30" customHeight="1">
      <c r="C25" s="15"/>
      <c r="E25" s="14"/>
    </row>
    <row r="26" spans="1:63" ht="30" customHeight="1">
      <c r="C26" s="4"/>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H4:BK22">
    <cfRule type="expression" dxfId="6" priority="1">
      <formula>AND(TODAY()&gt;=H$5, TODAY()&lt;I$5)</formula>
    </cfRule>
  </conditionalFormatting>
  <conditionalFormatting sqref="H9:BK11">
    <cfRule type="expression" dxfId="5" priority="6">
      <formula>AND(task_start&lt;=H$5,ROUNDDOWN((task_end-task_start+1)*task_progress,0)+task_start-1&gt;=H$5)</formula>
    </cfRule>
    <cfRule type="expression" dxfId="4" priority="7" stopIfTrue="1">
      <formula>AND(task_end&gt;=H$5,task_start&lt;I$5)</formula>
    </cfRule>
  </conditionalFormatting>
  <conditionalFormatting sqref="H13:BK18">
    <cfRule type="expression" dxfId="3" priority="4">
      <formula>AND(task_start&lt;=H$5,ROUNDDOWN((task_end-task_start+1)*task_progress,0)+task_start-1&gt;=H$5)</formula>
    </cfRule>
    <cfRule type="expression" dxfId="2" priority="5" stopIfTrue="1">
      <formula>AND(task_end&gt;=H$5,task_start&lt;I$5)</formula>
    </cfRule>
  </conditionalFormatting>
  <conditionalFormatting sqref="H20:BK22">
    <cfRule type="expression" dxfId="1" priority="2">
      <formula>AND(task_start&lt;=H$5,ROUNDDOWN((task_end-task_start+1)*task_progress,0)+task_start-1&gt;=H$5)</formula>
    </cfRule>
    <cfRule type="expression" dxfId="0" priority="3" stopIfTrue="1">
      <formula>AND(task_end&gt;=H$5,task_start&lt;I$5)</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9" xr:uid="{956902D1-D3B5-416D-BB69-9362D193BC0A}"/>
    <dataValidation allowBlank="1" showInputMessage="1" showErrorMessage="1" prompt="This row marks the end of the Project Schedule. DO NOT enter anything in this row. _x000a_Insert new rows ABOVE this one to continue building out your Project Schedule." sqref="A2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6"/>
  <cols>
    <col min="1" max="1" width="87" style="7" customWidth="1"/>
    <col min="2" max="16384" width="9" style="1"/>
  </cols>
  <sheetData>
    <row r="1" spans="1:2" ht="46.5" customHeight="1"/>
    <row r="2" spans="1:2" s="9" customFormat="1" ht="15.6">
      <c r="A2" s="72" t="s">
        <v>4</v>
      </c>
      <c r="B2" s="8"/>
    </row>
    <row r="3" spans="1:2" s="11" customFormat="1" ht="27" customHeight="1">
      <c r="A3" s="73"/>
      <c r="B3" s="12"/>
    </row>
    <row r="4" spans="1:2" s="10" customFormat="1" ht="30.6">
      <c r="A4" s="74" t="s">
        <v>34</v>
      </c>
    </row>
    <row r="5" spans="1:2" ht="74.25" customHeight="1">
      <c r="A5" s="75" t="s">
        <v>35</v>
      </c>
    </row>
    <row r="6" spans="1:2" ht="26.25" customHeight="1">
      <c r="A6" s="74" t="s">
        <v>36</v>
      </c>
    </row>
    <row r="7" spans="1:2" s="7" customFormat="1" ht="205.15" customHeight="1">
      <c r="A7" s="76" t="s">
        <v>37</v>
      </c>
    </row>
    <row r="8" spans="1:2" s="10" customFormat="1" ht="30.6">
      <c r="A8" s="74" t="s">
        <v>38</v>
      </c>
    </row>
    <row r="9" spans="1:2" ht="42">
      <c r="A9" s="75" t="s">
        <v>39</v>
      </c>
    </row>
    <row r="10" spans="1:2" s="7" customFormat="1" ht="28.15" customHeight="1">
      <c r="A10" s="77" t="s">
        <v>40</v>
      </c>
    </row>
    <row r="11" spans="1:2" s="10" customFormat="1" ht="30.6">
      <c r="A11" s="74" t="s">
        <v>41</v>
      </c>
    </row>
    <row r="12" spans="1:2" ht="27.95">
      <c r="A12" s="75" t="s">
        <v>42</v>
      </c>
    </row>
    <row r="13" spans="1:2" s="7" customFormat="1" ht="28.15" customHeight="1">
      <c r="A13" s="77" t="s">
        <v>43</v>
      </c>
    </row>
    <row r="14" spans="1:2" s="10" customFormat="1" ht="30.6">
      <c r="A14" s="74" t="s">
        <v>44</v>
      </c>
    </row>
    <row r="15" spans="1:2" ht="75" customHeight="1">
      <c r="A15" s="75" t="s">
        <v>45</v>
      </c>
    </row>
    <row r="16" spans="1:2" ht="69.95">
      <c r="A16" s="75" t="s">
        <v>46</v>
      </c>
    </row>
    <row r="17" spans="1:1">
      <c r="A17" s="78"/>
    </row>
    <row r="18" spans="1:1">
      <c r="A18" s="78"/>
    </row>
    <row r="19" spans="1:1">
      <c r="A19" s="78"/>
    </row>
    <row r="20" spans="1:1">
      <c r="A20" s="78"/>
    </row>
    <row r="21" spans="1:1">
      <c r="A21" s="78"/>
    </row>
    <row r="22" spans="1:1">
      <c r="A22" s="78"/>
    </row>
    <row r="23" spans="1:1">
      <c r="A23" s="78"/>
    </row>
    <row r="24" spans="1:1">
      <c r="A24" s="7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Ames</dc:creator>
  <cp:keywords/>
  <dc:description/>
  <cp:lastModifiedBy>Logan Baardson</cp:lastModifiedBy>
  <cp:revision/>
  <dcterms:created xsi:type="dcterms:W3CDTF">2022-03-11T22:41:12Z</dcterms:created>
  <dcterms:modified xsi:type="dcterms:W3CDTF">2026-04-21T15:06:22Z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